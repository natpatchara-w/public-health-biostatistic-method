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natpatchara/Documents/nus/SPH5002/companion-document/topics/hypothesis-testing/downloads/"/>
    </mc:Choice>
  </mc:AlternateContent>
  <xr:revisionPtr revIDLastSave="0" documentId="13_ncr:20001_{C8BB4218-5CA8-FD40-ADA8-40C95CD8925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ractice" sheetId="1" r:id="rId1"/>
    <sheet name="Worked solution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18" i="2"/>
  <c r="B15" i="2"/>
  <c r="B19" i="2" s="1"/>
  <c r="B14" i="2"/>
  <c r="B20" i="2" s="1"/>
  <c r="B21" i="2" s="1"/>
  <c r="B13" i="2"/>
  <c r="B16" i="2" l="1"/>
  <c r="B17" i="2" s="1"/>
  <c r="B23" i="2" s="1"/>
  <c r="B24" i="2" s="1"/>
</calcChain>
</file>

<file path=xl/sharedStrings.xml><?xml version="1.0" encoding="utf-8"?>
<sst xmlns="http://schemas.openxmlformats.org/spreadsheetml/2006/main" count="98" uniqueCount="64">
  <si>
    <t>Welch t-test: practice</t>
  </si>
  <si>
    <t>Two independent groups. Supplied means and standard deviations.</t>
  </si>
  <si>
    <t>Synthetic blood pressure example (mmHg). Source: independent-t-test.csv.</t>
  </si>
  <si>
    <t>Supplied information</t>
  </si>
  <si>
    <t>Group A</t>
  </si>
  <si>
    <t>Group B</t>
  </si>
  <si>
    <t>Meaning</t>
  </si>
  <si>
    <t>Sample size</t>
  </si>
  <si>
    <t>Number of independent observations</t>
  </si>
  <si>
    <t>Mean (mmHg)</t>
  </si>
  <si>
    <t>Population comparison uses A minus B</t>
  </si>
  <si>
    <t>Standard deviation (mmHg)</t>
  </si>
  <si>
    <t>Use these supplied values; underlying precision is retained</t>
  </si>
  <si>
    <t>Significance level</t>
  </si>
  <si>
    <t>Two-sided test; 5% level</t>
  </si>
  <si>
    <t>Null difference (mmHg)</t>
  </si>
  <si>
    <t>H0: equal population means; H1: different population means</t>
  </si>
  <si>
    <t>Calculation</t>
  </si>
  <si>
    <t>Result</t>
  </si>
  <si>
    <t>Enter a formula in each amber result cell</t>
  </si>
  <si>
    <t>Difference in means (mmHg)</t>
  </si>
  <si>
    <t>Group A minus Group B</t>
  </si>
  <si>
    <t>Group A contribution</t>
  </si>
  <si>
    <t>Square the SD, then divide by sample size</t>
  </si>
  <si>
    <t>Group B contribution</t>
  </si>
  <si>
    <t>Standard error (mmHg)</t>
  </si>
  <si>
    <t>Square root of the sum of the two contributions</t>
  </si>
  <si>
    <t>Test statistic t</t>
  </si>
  <si>
    <t>Difference from the null value, divided by standard error</t>
  </si>
  <si>
    <t>First df denominator term</t>
  </si>
  <si>
    <t>Use the Group A contribution and sample size</t>
  </si>
  <si>
    <t>Second df denominator term</t>
  </si>
  <si>
    <t>Use the Group B contribution and sample size</t>
  </si>
  <si>
    <t>Welch degrees of freedom</t>
  </si>
  <si>
    <t>Keep this decimal value for comparison with software</t>
  </si>
  <si>
    <t>Reference-table row</t>
  </si>
  <si>
    <t>Round to the nearest whole number, as in class</t>
  </si>
  <si>
    <t>Two-sided critical value</t>
  </si>
  <si>
    <t>Use the significance level and rounded table row</t>
  </si>
  <si>
    <t>Absolute test statistic</t>
  </si>
  <si>
    <t>Compare this value with the critical value</t>
  </si>
  <si>
    <t>Decision</t>
  </si>
  <si>
    <t>Reject H0 only when the absolute statistic exceeds the cutoff</t>
  </si>
  <si>
    <t>Interpret the result</t>
  </si>
  <si>
    <t>Write your conclusion: direction, size of the difference, and the test decision.</t>
  </si>
  <si>
    <t>Use the Worked solution tab to check your calculations after completing the exercise.</t>
  </si>
  <si>
    <t>A test result alone does not establish causation.</t>
  </si>
  <si>
    <t>Amber cells are inputs or practice answers. Keep calculations unrounded; round only the table row.</t>
  </si>
  <si>
    <t>Welch t-test: worked solution</t>
  </si>
  <si>
    <t>Formula and explanation</t>
  </si>
  <si>
    <t>=B7-C7  —  Group A minus Group B</t>
  </si>
  <si>
    <t>=B8^2/B6  —  Square the SD, then divide by sample size</t>
  </si>
  <si>
    <t>=C8^2/C6  —  Square the SD, then divide by sample size</t>
  </si>
  <si>
    <t>=SQRT(B14+B15)  —  Square root of the sum of the two contributions</t>
  </si>
  <si>
    <t>=(B13-B10)/B16  —  Difference from the null value, divided by standard error</t>
  </si>
  <si>
    <t>=B14^2/(B6-1)  —  Use the Group A contribution and sample size</t>
  </si>
  <si>
    <t>=B15^2/(C6-1)  —  Use the Group B contribution and sample size</t>
  </si>
  <si>
    <t>=(B14+B15)^2/(B18+B19)  —  Keep this decimal value for comparison with software</t>
  </si>
  <si>
    <t>=ROUND(B20,0)  —  Round to the nearest whole number, as in class</t>
  </si>
  <si>
    <t>=T.INV.2T(B9,B21)  —  Use the significance level and rounded table row</t>
  </si>
  <si>
    <t>=ABS(B17)  —  Compare this value with the critical value</t>
  </si>
  <si>
    <t>=IF(B23&gt;B22,"Reject H0","Do not reject H0")  —  Reject H0 only when the absolute statistic exceeds the cutoff</t>
  </si>
  <si>
    <t>For the supplied example, Group A’s sample mean is 12 mmHg lower.</t>
  </si>
  <si>
    <t>At the 5% level, the test gives evidence that the population means differ.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</si>
</sst>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>
    <font>
      <sz val="11"/>
      <name val="Carlito"/>
    </font>
    <font>
      <sz val="11"/>
      <color rgb="FF233444"/>
      <name val="Arial"/>
      <family val="2"/>
    </font>
    <font>
      <b/>
      <sz val="16"/>
      <color rgb="FF194E75"/>
      <name val="Arial"/>
      <family val="2"/>
    </font>
    <font>
      <sz val="10"/>
      <color rgb="FF536575"/>
      <name val="Arial"/>
      <family val="2"/>
    </font>
    <font>
      <b/>
      <sz val="11"/>
      <color rgb="FFFFFFFF"/>
      <name val="Arial"/>
      <family val="2"/>
    </font>
    <font>
      <b/>
      <sz val="11"/>
      <color rgb="FF194E7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4D5"/>
      </patternFill>
    </fill>
    <fill>
      <patternFill patternType="solid">
        <fgColor rgb="FF194E75"/>
      </patternFill>
    </fill>
    <fill>
      <patternFill patternType="solid">
        <fgColor rgb="FFF2F6F9"/>
      </patternFill>
    </fill>
  </fills>
  <borders count="3">
    <border>
      <left/>
      <right/>
      <top/>
      <bottom/>
      <diagonal/>
    </border>
    <border>
      <left/>
      <right/>
      <top/>
      <bottom style="thin">
        <color rgb="FF194E75"/>
      </bottom>
      <diagonal/>
    </border>
    <border>
      <left/>
      <right/>
      <top style="thin">
        <color rgb="FF194E7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9" fontId="1" fillId="2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64" fontId="5" fillId="2" borderId="2" xfId="0" applyNumberFormat="1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164" fontId="5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788A"/>
  </sheetPr>
  <dimension ref="A1:D30"/>
  <sheetViews>
    <sheetView showGridLines="0" tabSelected="1" workbookViewId="0"/>
  </sheetViews>
  <sheetFormatPr baseColWidth="10" defaultColWidth="8.83203125" defaultRowHeight="14"/>
  <cols>
    <col min="1" max="1" width="32" customWidth="1"/>
    <col min="2" max="3" width="21" customWidth="1"/>
    <col min="4" max="4" width="77" customWidth="1"/>
  </cols>
  <sheetData>
    <row r="1" spans="1:4" ht="25" customHeight="1">
      <c r="A1" s="1"/>
      <c r="B1" s="1"/>
      <c r="C1" s="1"/>
      <c r="D1" s="1"/>
    </row>
    <row r="2" spans="1:4" ht="32" customHeight="1">
      <c r="A2" s="2" t="s">
        <v>0</v>
      </c>
      <c r="B2" s="3"/>
      <c r="C2" s="3"/>
      <c r="D2" s="3"/>
    </row>
    <row r="3" spans="1:4" ht="25" customHeight="1">
      <c r="A3" s="4" t="s">
        <v>1</v>
      </c>
      <c r="B3" s="4"/>
      <c r="C3" s="4"/>
      <c r="D3" s="4"/>
    </row>
    <row r="4" spans="1:4" ht="25" customHeight="1">
      <c r="A4" s="4" t="s">
        <v>2</v>
      </c>
      <c r="B4" s="4"/>
      <c r="C4" s="4"/>
      <c r="D4" s="4"/>
    </row>
    <row r="5" spans="1:4" ht="25" customHeight="1">
      <c r="A5" s="9" t="s">
        <v>3</v>
      </c>
      <c r="B5" s="9" t="s">
        <v>4</v>
      </c>
      <c r="C5" s="9" t="s">
        <v>5</v>
      </c>
      <c r="D5" s="9" t="s">
        <v>6</v>
      </c>
    </row>
    <row r="6" spans="1:4" ht="25" customHeight="1">
      <c r="A6" s="1" t="s">
        <v>7</v>
      </c>
      <c r="B6" s="6">
        <v>8</v>
      </c>
      <c r="C6" s="6">
        <v>8</v>
      </c>
      <c r="D6" s="1" t="s">
        <v>8</v>
      </c>
    </row>
    <row r="7" spans="1:4" ht="25" customHeight="1">
      <c r="A7" s="1" t="s">
        <v>9</v>
      </c>
      <c r="B7" s="6">
        <v>123</v>
      </c>
      <c r="C7" s="6">
        <v>135</v>
      </c>
      <c r="D7" s="1" t="s">
        <v>10</v>
      </c>
    </row>
    <row r="8" spans="1:4" ht="25" customHeight="1">
      <c r="A8" s="1" t="s">
        <v>11</v>
      </c>
      <c r="B8" s="7">
        <v>4.8989794855663558</v>
      </c>
      <c r="C8" s="7">
        <v>9.7979589711327115</v>
      </c>
      <c r="D8" s="1" t="s">
        <v>12</v>
      </c>
    </row>
    <row r="9" spans="1:4" ht="25" customHeight="1">
      <c r="A9" s="1" t="s">
        <v>13</v>
      </c>
      <c r="B9" s="8">
        <v>0.05</v>
      </c>
      <c r="C9" s="1"/>
      <c r="D9" s="1" t="s">
        <v>14</v>
      </c>
    </row>
    <row r="10" spans="1:4" ht="25" customHeight="1">
      <c r="A10" s="1" t="s">
        <v>15</v>
      </c>
      <c r="B10" s="5">
        <v>0</v>
      </c>
      <c r="C10" s="1"/>
      <c r="D10" s="1" t="s">
        <v>16</v>
      </c>
    </row>
    <row r="11" spans="1:4" ht="25" customHeight="1">
      <c r="A11" s="1"/>
      <c r="B11" s="1"/>
      <c r="C11" s="1"/>
      <c r="D11" s="1"/>
    </row>
    <row r="12" spans="1:4" ht="25" customHeight="1">
      <c r="A12" s="9" t="s">
        <v>17</v>
      </c>
      <c r="B12" s="9" t="s">
        <v>18</v>
      </c>
      <c r="C12" s="9"/>
      <c r="D12" s="9" t="s">
        <v>19</v>
      </c>
    </row>
    <row r="13" spans="1:4" ht="42" customHeight="1">
      <c r="A13" s="1" t="s">
        <v>20</v>
      </c>
      <c r="B13" s="7"/>
      <c r="C13" s="1"/>
      <c r="D13" s="11" t="s">
        <v>21</v>
      </c>
    </row>
    <row r="14" spans="1:4" ht="42" customHeight="1">
      <c r="A14" s="12" t="s">
        <v>22</v>
      </c>
      <c r="B14" s="7"/>
      <c r="C14" s="1"/>
      <c r="D14" s="11" t="s">
        <v>23</v>
      </c>
    </row>
    <row r="15" spans="1:4" ht="42" customHeight="1">
      <c r="A15" s="1" t="s">
        <v>24</v>
      </c>
      <c r="B15" s="7"/>
      <c r="C15" s="1"/>
      <c r="D15" s="11" t="s">
        <v>23</v>
      </c>
    </row>
    <row r="16" spans="1:4" ht="42" customHeight="1">
      <c r="A16" s="12" t="s">
        <v>25</v>
      </c>
      <c r="B16" s="7"/>
      <c r="C16" s="1"/>
      <c r="D16" s="11" t="s">
        <v>26</v>
      </c>
    </row>
    <row r="17" spans="1:4" ht="42" customHeight="1">
      <c r="A17" s="1" t="s">
        <v>27</v>
      </c>
      <c r="B17" s="7"/>
      <c r="C17" s="1"/>
      <c r="D17" s="11" t="s">
        <v>28</v>
      </c>
    </row>
    <row r="18" spans="1:4" ht="42" customHeight="1">
      <c r="A18" s="12" t="s">
        <v>29</v>
      </c>
      <c r="B18" s="7"/>
      <c r="C18" s="1"/>
      <c r="D18" s="11" t="s">
        <v>30</v>
      </c>
    </row>
    <row r="19" spans="1:4" ht="42" customHeight="1">
      <c r="A19" s="1" t="s">
        <v>31</v>
      </c>
      <c r="B19" s="7"/>
      <c r="C19" s="1"/>
      <c r="D19" s="11" t="s">
        <v>32</v>
      </c>
    </row>
    <row r="20" spans="1:4" ht="42" customHeight="1">
      <c r="A20" s="12" t="s">
        <v>33</v>
      </c>
      <c r="B20" s="7"/>
      <c r="C20" s="1"/>
      <c r="D20" s="11" t="s">
        <v>34</v>
      </c>
    </row>
    <row r="21" spans="1:4" ht="42" customHeight="1">
      <c r="A21" s="1" t="s">
        <v>35</v>
      </c>
      <c r="B21" s="6"/>
      <c r="C21" s="1"/>
      <c r="D21" s="11" t="s">
        <v>36</v>
      </c>
    </row>
    <row r="22" spans="1:4" ht="42" customHeight="1">
      <c r="A22" s="12" t="s">
        <v>37</v>
      </c>
      <c r="B22" s="7"/>
      <c r="C22" s="1"/>
      <c r="D22" s="11" t="s">
        <v>38</v>
      </c>
    </row>
    <row r="23" spans="1:4" ht="42" customHeight="1">
      <c r="A23" s="1" t="s">
        <v>39</v>
      </c>
      <c r="B23" s="7"/>
      <c r="C23" s="1"/>
      <c r="D23" s="11" t="s">
        <v>40</v>
      </c>
    </row>
    <row r="24" spans="1:4" ht="50" customHeight="1">
      <c r="A24" s="14" t="s">
        <v>41</v>
      </c>
      <c r="B24" s="17"/>
      <c r="C24" s="15"/>
      <c r="D24" s="16" t="s">
        <v>42</v>
      </c>
    </row>
    <row r="25" spans="1:4" ht="25" customHeight="1">
      <c r="A25" s="1"/>
      <c r="B25" s="1"/>
      <c r="C25" s="1"/>
      <c r="D25" s="1"/>
    </row>
    <row r="26" spans="1:4" ht="25" customHeight="1">
      <c r="A26" s="18" t="s">
        <v>43</v>
      </c>
      <c r="B26" s="1"/>
      <c r="C26" s="1"/>
      <c r="D26" s="1"/>
    </row>
    <row r="27" spans="1:4" ht="25" customHeight="1">
      <c r="A27" s="1" t="s">
        <v>44</v>
      </c>
      <c r="B27" s="1"/>
      <c r="C27" s="1"/>
      <c r="D27" s="1"/>
    </row>
    <row r="28" spans="1:4" ht="25" customHeight="1">
      <c r="A28" s="1" t="s">
        <v>45</v>
      </c>
      <c r="B28" s="1"/>
      <c r="C28" s="1"/>
      <c r="D28" s="1"/>
    </row>
    <row r="29" spans="1:4" ht="25" customHeight="1">
      <c r="A29" s="1" t="s">
        <v>46</v>
      </c>
      <c r="B29" s="1"/>
      <c r="C29" s="1"/>
      <c r="D29" s="1"/>
    </row>
    <row r="30" spans="1:4" ht="25" customHeight="1">
      <c r="A30" s="4" t="s">
        <v>47</v>
      </c>
      <c r="B30" s="4"/>
      <c r="C30" s="4"/>
      <c r="D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94E75"/>
  </sheetPr>
  <dimension ref="A1:D30"/>
  <sheetViews>
    <sheetView showGridLines="0" topLeftCell="A7" workbookViewId="0">
      <selection activeCell="B8" sqref="B8"/>
    </sheetView>
  </sheetViews>
  <sheetFormatPr baseColWidth="10" defaultColWidth="8.83203125" defaultRowHeight="14"/>
  <cols>
    <col min="1" max="1" width="32" customWidth="1"/>
    <col min="2" max="3" width="21" customWidth="1"/>
    <col min="4" max="4" width="77" customWidth="1"/>
  </cols>
  <sheetData>
    <row r="1" spans="1:4" ht="25" customHeight="1">
      <c r="A1" s="1"/>
      <c r="B1" s="1"/>
      <c r="C1" s="1"/>
      <c r="D1" s="1"/>
    </row>
    <row r="2" spans="1:4" ht="32" customHeight="1">
      <c r="A2" s="2" t="s">
        <v>48</v>
      </c>
      <c r="B2" s="3"/>
      <c r="C2" s="3"/>
      <c r="D2" s="3"/>
    </row>
    <row r="3" spans="1:4" ht="25" customHeight="1">
      <c r="A3" s="4" t="s">
        <v>1</v>
      </c>
      <c r="B3" s="4"/>
      <c r="C3" s="4"/>
      <c r="D3" s="4"/>
    </row>
    <row r="4" spans="1:4" ht="25" customHeight="1">
      <c r="A4" s="4" t="s">
        <v>2</v>
      </c>
      <c r="B4" s="4"/>
      <c r="C4" s="4"/>
      <c r="D4" s="4"/>
    </row>
    <row r="5" spans="1:4" ht="25" customHeight="1">
      <c r="A5" s="9" t="s">
        <v>3</v>
      </c>
      <c r="B5" s="9" t="s">
        <v>4</v>
      </c>
      <c r="C5" s="9" t="s">
        <v>5</v>
      </c>
      <c r="D5" s="9" t="s">
        <v>6</v>
      </c>
    </row>
    <row r="6" spans="1:4" ht="25" customHeight="1">
      <c r="A6" s="1" t="s">
        <v>7</v>
      </c>
      <c r="B6" s="6">
        <v>8</v>
      </c>
      <c r="C6" s="6">
        <v>8</v>
      </c>
      <c r="D6" s="1" t="s">
        <v>8</v>
      </c>
    </row>
    <row r="7" spans="1:4" ht="25" customHeight="1">
      <c r="A7" s="1" t="s">
        <v>9</v>
      </c>
      <c r="B7" s="6">
        <v>123</v>
      </c>
      <c r="C7" s="6">
        <v>135</v>
      </c>
      <c r="D7" s="1" t="s">
        <v>10</v>
      </c>
    </row>
    <row r="8" spans="1:4" ht="25" customHeight="1">
      <c r="A8" s="1" t="s">
        <v>11</v>
      </c>
      <c r="B8" s="7">
        <v>4.8989794855663558</v>
      </c>
      <c r="C8" s="7">
        <v>9.7979589711327115</v>
      </c>
      <c r="D8" s="1" t="s">
        <v>12</v>
      </c>
    </row>
    <row r="9" spans="1:4" ht="25" customHeight="1">
      <c r="A9" s="1" t="s">
        <v>13</v>
      </c>
      <c r="B9" s="8">
        <v>0.05</v>
      </c>
      <c r="C9" s="1"/>
      <c r="D9" s="1" t="s">
        <v>14</v>
      </c>
    </row>
    <row r="10" spans="1:4" ht="25" customHeight="1">
      <c r="A10" s="1" t="s">
        <v>15</v>
      </c>
      <c r="B10" s="5">
        <v>0</v>
      </c>
      <c r="C10" s="1"/>
      <c r="D10" s="1" t="s">
        <v>16</v>
      </c>
    </row>
    <row r="11" spans="1:4" ht="25" customHeight="1">
      <c r="A11" s="1"/>
      <c r="B11" s="1"/>
      <c r="C11" s="1"/>
      <c r="D11" s="1"/>
    </row>
    <row r="12" spans="1:4" ht="25" customHeight="1">
      <c r="A12" s="9" t="s">
        <v>17</v>
      </c>
      <c r="B12" s="9" t="s">
        <v>18</v>
      </c>
      <c r="C12" s="9"/>
      <c r="D12" s="9" t="s">
        <v>49</v>
      </c>
    </row>
    <row r="13" spans="1:4" ht="42" customHeight="1">
      <c r="A13" s="1" t="s">
        <v>20</v>
      </c>
      <c r="B13" s="10">
        <f>B7-C7</f>
        <v>-12</v>
      </c>
      <c r="C13" s="1"/>
      <c r="D13" s="11" t="s">
        <v>50</v>
      </c>
    </row>
    <row r="14" spans="1:4" ht="42" customHeight="1">
      <c r="A14" s="12" t="s">
        <v>22</v>
      </c>
      <c r="B14" s="10">
        <f>B8^2/B6</f>
        <v>2.9999999999999996</v>
      </c>
      <c r="C14" s="1"/>
      <c r="D14" s="11" t="s">
        <v>51</v>
      </c>
    </row>
    <row r="15" spans="1:4" ht="42" customHeight="1">
      <c r="A15" s="1" t="s">
        <v>24</v>
      </c>
      <c r="B15" s="10">
        <f>C8^2/C6</f>
        <v>11.999999999999998</v>
      </c>
      <c r="C15" s="1"/>
      <c r="D15" s="11" t="s">
        <v>52</v>
      </c>
    </row>
    <row r="16" spans="1:4" ht="42" customHeight="1">
      <c r="A16" s="12" t="s">
        <v>25</v>
      </c>
      <c r="B16" s="10">
        <f>SQRT(B14+B15)</f>
        <v>3.8729833462074166</v>
      </c>
      <c r="C16" s="1"/>
      <c r="D16" s="11" t="s">
        <v>53</v>
      </c>
    </row>
    <row r="17" spans="1:4" ht="42" customHeight="1">
      <c r="A17" s="1" t="s">
        <v>27</v>
      </c>
      <c r="B17" s="10">
        <f>(B13-B10)/B16</f>
        <v>-3.0983866769659336</v>
      </c>
      <c r="C17" s="1"/>
      <c r="D17" s="11" t="s">
        <v>54</v>
      </c>
    </row>
    <row r="18" spans="1:4" ht="42" customHeight="1">
      <c r="A18" s="12" t="s">
        <v>29</v>
      </c>
      <c r="B18" s="10">
        <f>B14^2/(B6-1)</f>
        <v>1.2857142857142854</v>
      </c>
      <c r="C18" s="1"/>
      <c r="D18" s="11" t="s">
        <v>55</v>
      </c>
    </row>
    <row r="19" spans="1:4" ht="42" customHeight="1">
      <c r="A19" s="1" t="s">
        <v>31</v>
      </c>
      <c r="B19" s="10">
        <f>B15^2/(C6-1)</f>
        <v>20.571428571428566</v>
      </c>
      <c r="C19" s="1"/>
      <c r="D19" s="11" t="s">
        <v>56</v>
      </c>
    </row>
    <row r="20" spans="1:4" ht="42" customHeight="1">
      <c r="A20" s="12" t="s">
        <v>33</v>
      </c>
      <c r="B20" s="10">
        <f>(B14+B15)^2/(B18+B19)</f>
        <v>10.294117647058824</v>
      </c>
      <c r="C20" s="1"/>
      <c r="D20" s="11" t="s">
        <v>57</v>
      </c>
    </row>
    <row r="21" spans="1:4" ht="42" customHeight="1">
      <c r="A21" s="1" t="s">
        <v>35</v>
      </c>
      <c r="B21" s="13">
        <f>ROUND(B20,0)</f>
        <v>10</v>
      </c>
      <c r="C21" s="1"/>
      <c r="D21" s="11" t="s">
        <v>58</v>
      </c>
    </row>
    <row r="22" spans="1:4" ht="42" customHeight="1">
      <c r="A22" s="12" t="s">
        <v>37</v>
      </c>
      <c r="B22" s="10">
        <f>_xlfn.T.INV.2T(B9,B21)</f>
        <v>2.2281388519862744</v>
      </c>
      <c r="C22" s="1"/>
      <c r="D22" s="11" t="s">
        <v>59</v>
      </c>
    </row>
    <row r="23" spans="1:4" ht="42" customHeight="1">
      <c r="A23" s="1" t="s">
        <v>39</v>
      </c>
      <c r="B23" s="10">
        <f>ABS(B17)</f>
        <v>3.0983866769659336</v>
      </c>
      <c r="C23" s="1"/>
      <c r="D23" s="11" t="s">
        <v>60</v>
      </c>
    </row>
    <row r="24" spans="1:4" ht="50" customHeight="1">
      <c r="A24" s="14" t="s">
        <v>41</v>
      </c>
      <c r="B24" s="19" t="str">
        <f>IF(B23&gt;B22,"Reject H0","Do not reject H0")</f>
        <v>Reject H0</v>
      </c>
      <c r="C24" s="15"/>
      <c r="D24" s="16" t="s">
        <v>61</v>
      </c>
    </row>
    <row r="25" spans="1:4" ht="25" customHeight="1">
      <c r="A25" s="1"/>
      <c r="B25" s="1"/>
      <c r="C25" s="1"/>
      <c r="D25" s="1"/>
    </row>
    <row r="26" spans="1:4" ht="25" customHeight="1">
      <c r="A26" s="18" t="s">
        <v>43</v>
      </c>
      <c r="B26" s="1"/>
      <c r="C26" s="1"/>
      <c r="D26" s="1"/>
    </row>
    <row r="27" spans="1:4" ht="25" customHeight="1">
      <c r="A27" s="1" t="s">
        <v>62</v>
      </c>
      <c r="B27" s="1"/>
      <c r="C27" s="1"/>
      <c r="D27" s="1"/>
    </row>
    <row r="28" spans="1:4" ht="25" customHeight="1">
      <c r="A28" s="1" t="s">
        <v>63</v>
      </c>
      <c r="B28" s="1"/>
      <c r="C28" s="1"/>
      <c r="D28" s="1"/>
    </row>
    <row r="29" spans="1:4" ht="25" customHeight="1">
      <c r="A29" s="1" t="s">
        <v>46</v>
      </c>
      <c r="B29" s="1"/>
      <c r="C29" s="1"/>
      <c r="D29" s="1"/>
    </row>
    <row r="30" spans="1:4" ht="25" customHeight="1">
      <c r="A30" s="4" t="s">
        <v>47</v>
      </c>
      <c r="B30" s="4"/>
      <c r="C30" s="4"/>
      <c r="D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Worked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Pongjirapat Natpatchara</cp:lastModifiedBy>
  <dcterms:created xsi:type="dcterms:W3CDTF">2026-09-18T15:54:53Z</dcterms:created>
  <dcterms:modified xsi:type="dcterms:W3CDTF">2026-09-18T15:56:27Z</dcterms:modified>
</cp:coreProperties>
</file>